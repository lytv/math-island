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/tools/math-island/outputs/paynow-estimation/"/>
    </mc:Choice>
  </mc:AlternateContent>
  <xr:revisionPtr revIDLastSave="0" documentId="13_ncr:1_{2D0FC1BE-79CB-6F43-905D-396097F5D387}" xr6:coauthVersionLast="47" xr6:coauthVersionMax="47" xr10:uidLastSave="{00000000-0000-0000-0000-000000000000}"/>
  <bookViews>
    <workbookView xWindow="0" yWindow="600" windowWidth="28800" windowHeight="15820" activeTab="7" xr2:uid="{00000000-000D-0000-FFFF-FFFF00000000}"/>
  </bookViews>
  <sheets>
    <sheet name="Dashboard" sheetId="1" r:id="rId1"/>
    <sheet name="Phase Estimates" sheetId="2" r:id="rId2"/>
    <sheet name="Work Breakdown" sheetId="3" r:id="rId3"/>
    <sheet name="Assumptions" sheetId="4" r:id="rId4"/>
    <sheet name="Questions" sheetId="5" r:id="rId5"/>
    <sheet name="Commercial Notes" sheetId="6" r:id="rId6"/>
    <sheet name="References" sheetId="7" r:id="rId7"/>
    <sheet name="No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8" i="2"/>
  <c r="C14" i="1" s="1"/>
  <c r="C8" i="2"/>
  <c r="B14" i="1" s="1"/>
  <c r="D7" i="2"/>
  <c r="C13" i="1" s="1"/>
  <c r="C7" i="2"/>
  <c r="B13" i="1" s="1"/>
  <c r="D6" i="2"/>
  <c r="C6" i="2"/>
  <c r="E6" i="2" s="1"/>
  <c r="D12" i="1" s="1"/>
  <c r="D5" i="2"/>
  <c r="C11" i="1" s="1"/>
  <c r="C5" i="2"/>
  <c r="B11" i="1" s="1"/>
  <c r="C12" i="1"/>
  <c r="E7" i="2" l="1"/>
  <c r="D13" i="1" s="1"/>
  <c r="E5" i="2"/>
  <c r="D11" i="1" s="1"/>
  <c r="E8" i="2"/>
  <c r="D14" i="1" s="1"/>
  <c r="B12" i="1"/>
</calcChain>
</file>

<file path=xl/sharedStrings.xml><?xml version="1.0" encoding="utf-8"?>
<sst xmlns="http://schemas.openxmlformats.org/spreadsheetml/2006/main" count="332" uniqueCount="249">
  <si>
    <t>PayNow Integration Estimation</t>
  </si>
  <si>
    <t>Presale strategy for SCSKAP: low-budget-friendly phased approach with controlled scope and visible risk items.</t>
  </si>
  <si>
    <t>Recommended Strategy</t>
  </si>
  <si>
    <t>Option</t>
  </si>
  <si>
    <t>Min MD</t>
  </si>
  <si>
    <t>Max MD</t>
  </si>
  <si>
    <t>Start with Phase 0 fixed-scope discovery, then quote Phase 1 Lean MVP for Counter Sales only. Keep Field Power Integration as Phase 2. This protects margin because UOB API access, bank callback rules, SAP output technology, and SAP FI/AR clearing are not yet confirmed.</t>
  </si>
  <si>
    <t>Phase 0</t>
  </si>
  <si>
    <t>Lean P1</t>
  </si>
  <si>
    <t>Standard P1</t>
  </si>
  <si>
    <t>Phase 2</t>
  </si>
  <si>
    <t>Avg MD</t>
  </si>
  <si>
    <t>Positioning</t>
  </si>
  <si>
    <t>Phase 0 Discovery</t>
  </si>
  <si>
    <t>Recommended first step</t>
  </si>
  <si>
    <t>Lean Phase 1 MVP</t>
  </si>
  <si>
    <t>Best fit for low budget</t>
  </si>
  <si>
    <t>Standard Phase 1</t>
  </si>
  <si>
    <t>If customer wants reliability</t>
  </si>
  <si>
    <t>Phase 2 Field Power</t>
  </si>
  <si>
    <t>Separate later phase</t>
  </si>
  <si>
    <t>Key Commercial Guardrails</t>
  </si>
  <si>
    <t>1</t>
  </si>
  <si>
    <t>Do not quote full scope until Phase 0 confirms UOB API, SAP output, and SAP update mechanism.</t>
  </si>
  <si>
    <t>2</t>
  </si>
  <si>
    <t>Use fixed price only for Phase 0 and tightly scoped Phase 1; exclude bank onboarding delays and major SAP redesign.</t>
  </si>
  <si>
    <t>3</t>
  </si>
  <si>
    <t>Base offer should be Lean Phase 1. Price exception handling, auto-clearing, dashboards, refunds, and Field Power separately.</t>
  </si>
  <si>
    <t>4</t>
  </si>
  <si>
    <t>Customer budget is low, but project should be framed as ERP payment integration, not only QR generation.</t>
  </si>
  <si>
    <t>Phase Estimates</t>
  </si>
  <si>
    <t>Summary options generated from the Work Breakdown sheet.</t>
  </si>
  <si>
    <t>Phase</t>
  </si>
  <si>
    <t>Scope</t>
  </si>
  <si>
    <t>Best Use</t>
  </si>
  <si>
    <t>Commercial Model</t>
  </si>
  <si>
    <t>Elapsed Time</t>
  </si>
  <si>
    <t>Recommendation</t>
  </si>
  <si>
    <t>P0</t>
  </si>
  <si>
    <t>Phase 0 Discovery and Design</t>
  </si>
  <si>
    <t>Recommended first</t>
  </si>
  <si>
    <t>Fixed price</t>
  </si>
  <si>
    <t>1-2 weeks</t>
  </si>
  <si>
    <t>Fixed-scope technical discovery before build commitment</t>
  </si>
  <si>
    <t>P1L</t>
  </si>
  <si>
    <t>Fixed scope or capped T&amp;M</t>
  </si>
  <si>
    <t>6-8 weeks</t>
  </si>
  <si>
    <t>Counter Sales MVP with core QR/payment/callback/SAP confirmation</t>
  </si>
  <si>
    <t>P1S</t>
  </si>
  <si>
    <t>Use if reliability matters more than lowest cost</t>
  </si>
  <si>
    <t>Scoped fixed price</t>
  </si>
  <si>
    <t>8-12 weeks</t>
  </si>
  <si>
    <t>Lean MVP plus stronger validation, exception handling, and reconciliation</t>
  </si>
  <si>
    <t>P2</t>
  </si>
  <si>
    <t>Phase 2 Field Power Integration</t>
  </si>
  <si>
    <t>Estimate after Phase 1</t>
  </si>
  <si>
    <t>Separate phase</t>
  </si>
  <si>
    <t>TBD after Phase 1</t>
  </si>
  <si>
    <t>Extend payment flow to Field Power/mobile/field sales</t>
  </si>
  <si>
    <t>Suggested Proposal Position</t>
  </si>
  <si>
    <t>Offer Phase 0 as a paid fixed-scope discovery. This gives customer a low starting cost and gives Rikkeisoft enough facts to protect margin.</t>
  </si>
  <si>
    <t>Use Lean Phase 1 as the base implementation. It covers business value without overbuilding exception handling or Field Power.</t>
  </si>
  <si>
    <t>Quote Standard Phase 1 only if customer explicitly needs production-grade reconciliation and lower manual operations.</t>
  </si>
  <si>
    <t>Keep Phase 2 as a separate post-MVP extension.</t>
  </si>
  <si>
    <t>Work Breakdown</t>
  </si>
  <si>
    <t>Editable man-day estimate by phase/workstream. Phase Estimates uses SUMIF formulas from this sheet.</t>
  </si>
  <si>
    <t>Work Item</t>
  </si>
  <si>
    <t>Criticality</t>
  </si>
  <si>
    <t>Notes</t>
  </si>
  <si>
    <t>Requirement workshop and scope confirmation</t>
  </si>
  <si>
    <t>Must-have</t>
  </si>
  <si>
    <t>Confirm Counter Sales and Phase 2 boundary</t>
  </si>
  <si>
    <t>SAP invoice/output review</t>
  </si>
  <si>
    <t>Identify ECC/S4/B1 and form technology</t>
  </si>
  <si>
    <t>UOB API / PayNow QR feasibility review</t>
  </si>
  <si>
    <t>Confirm sandbox, OAuth2, QR data, webhook</t>
  </si>
  <si>
    <t>Solution architecture and data flow</t>
  </si>
  <si>
    <t>Architecture, integration options, risk list</t>
  </si>
  <si>
    <t>Final MVP estimation and delivery plan</t>
  </si>
  <si>
    <t>Basis for Phase 1 quote</t>
  </si>
  <si>
    <t>Project setup and detailed design</t>
  </si>
  <si>
    <t>Keep design lean and implementation-ready</t>
  </si>
  <si>
    <t>SAP invoice data mapping</t>
  </si>
  <si>
    <t>Invoice no, amount, customer, reference</t>
  </si>
  <si>
    <t>SAP invoice output enhancement / QR placement</t>
  </si>
  <si>
    <t>Likely ABAP/form enhancement effort</t>
  </si>
  <si>
    <t>Integration service setup</t>
  </si>
  <si>
    <t>Lightweight middleware/API service</t>
  </si>
  <si>
    <t>UOB OAuth2 / API integration</t>
  </si>
  <si>
    <t>Token, certificates, bank API security</t>
  </si>
  <si>
    <t>PayNow QR data generation/handling</t>
  </si>
  <si>
    <t>Dynamic amount and payment reference</t>
  </si>
  <si>
    <t>Bank notification callback endpoint</t>
  </si>
  <si>
    <t>Receive UOB/SG Bank payment notification</t>
  </si>
  <si>
    <t>Basic payment matching by invoice reference</t>
  </si>
  <si>
    <t>Match payment reference to SAP invoice</t>
  </si>
  <si>
    <t>SAP payment confirmation/status update</t>
  </si>
  <si>
    <t>Confirm paid status or posting interface</t>
  </si>
  <si>
    <t>Basic logs and error handling</t>
  </si>
  <si>
    <t>Audit API calls, callbacks, errors</t>
  </si>
  <si>
    <t>SIT/UAT support and bug fixing</t>
  </si>
  <si>
    <t>Joint test with SAP and UOB sandbox</t>
  </si>
  <si>
    <t>PM/communication</t>
  </si>
  <si>
    <t>English-speaking PM/coordination</t>
  </si>
  <si>
    <t>Lean Phase 1 MVP baseline</t>
  </si>
  <si>
    <t>Baseline</t>
  </si>
  <si>
    <t>Same scope as P1L</t>
  </si>
  <si>
    <t>Stronger callback validation and idempotency</t>
  </si>
  <si>
    <t>Recommended</t>
  </si>
  <si>
    <t>Prevent duplicated callback updates</t>
  </si>
  <si>
    <t>Exception handling for wrong amount/duplicate/unknown ref</t>
  </si>
  <si>
    <t>Reduce manual Finance AR work</t>
  </si>
  <si>
    <t>SAP FI/AR posting or clearing enhancement</t>
  </si>
  <si>
    <t>Optional</t>
  </si>
  <si>
    <t>Depends on SAP FI/AR process</t>
  </si>
  <si>
    <t>Operational monitoring and alerting</t>
  </si>
  <si>
    <t>Support run operations</t>
  </si>
  <si>
    <t>Additional regression/security testing</t>
  </si>
  <si>
    <t>Needed for production confidence</t>
  </si>
  <si>
    <t>Field Power process analysis</t>
  </si>
  <si>
    <t>Confirm field/mobile flow</t>
  </si>
  <si>
    <t>Mobile/field payment flow design</t>
  </si>
  <si>
    <t>Define user journey and states</t>
  </si>
  <si>
    <t>Integration extension</t>
  </si>
  <si>
    <t>Reuse Phase 1 service where possible</t>
  </si>
  <si>
    <t>SAP/Field Power mapping and update</t>
  </si>
  <si>
    <t>Map transactions back to SAP</t>
  </si>
  <si>
    <t>Testing and rollout support</t>
  </si>
  <si>
    <t>UAT and deployment support</t>
  </si>
  <si>
    <t>Assumptions and Scope Control</t>
  </si>
  <si>
    <t>Use these assumptions to keep Phase 1 small and protect margin.</t>
  </si>
  <si>
    <t>No.</t>
  </si>
  <si>
    <t>Assumption</t>
  </si>
  <si>
    <t>Phase 1 covers Counter Sales only.</t>
  </si>
  <si>
    <t>Currency is SGD.</t>
  </si>
  <si>
    <t>PayNow Corporate / UEN registration is handled by SCSKAP/customer.</t>
  </si>
  <si>
    <t>UOB provides API documentation, sandbox, credentials, certificate requirements, and webhook rules.</t>
  </si>
  <si>
    <t>SAP version and output technology are available for review.</t>
  </si>
  <si>
    <t>Existing invoice output exists and only needs QR/payment fields added.</t>
  </si>
  <si>
    <t>One payment reference maps to one SAP invoice.</t>
  </si>
  <si>
    <t>No partial payment, refund, chargeback, or multi-bank flow in Lean Phase 1.</t>
  </si>
  <si>
    <t>SAP production transport and approval process are handled by SCSKAP/customer.</t>
  </si>
  <si>
    <t>Base Scope Exclusions</t>
  </si>
  <si>
    <t>Bank onboarding delays and production approval/certification outside normal implementation support.</t>
  </si>
  <si>
    <t>Refund, chargeback, multi-bank, multi-currency, or partial payment scenarios.</t>
  </si>
  <si>
    <t>Major SAP invoice form redesign beyond QR/payment data placement.</t>
  </si>
  <si>
    <t>Field Power Integration, dashboards, reporting portal, and advanced monitoring.</t>
  </si>
  <si>
    <t>SAP infrastructure changes, customer network/firewall changes, or production transport approval delays.</t>
  </si>
  <si>
    <t>Questions Before Final Quote</t>
  </si>
  <si>
    <t>These must be answered before converting the MD range into a final fixed price.</t>
  </si>
  <si>
    <t>Topic</t>
  </si>
  <si>
    <t>Question</t>
  </si>
  <si>
    <t>Priority</t>
  </si>
  <si>
    <t>Owner/Status</t>
  </si>
  <si>
    <t>SAP version</t>
  </si>
  <si>
    <t>Which SAP version is used: ECC, S/4HANA On-Premise, S/4HANA Cloud, or SAP Business One?</t>
  </si>
  <si>
    <t>High</t>
  </si>
  <si>
    <t>Open</t>
  </si>
  <si>
    <t>Output technology</t>
  </si>
  <si>
    <t>Which invoice output technology is used: SAPscript, Smart Forms, Adobe Forms, or S/4HANA Output Management?</t>
  </si>
  <si>
    <t>PayNow registration</t>
  </si>
  <si>
    <t>Does SCSKAP already have UOB PayNow Corporate registration and UEN suffix?</t>
  </si>
  <si>
    <t>UOB API access</t>
  </si>
  <si>
    <t>Does UOB provide sandbox and API documentation for dynamic PayNow QR?</t>
  </si>
  <si>
    <t>Notification method</t>
  </si>
  <si>
    <t>Is payment notification delivered by webhook/API, email, bank statement, or batch file?</t>
  </si>
  <si>
    <t>SAP update</t>
  </si>
  <si>
    <t>Should SAP only mark payment status, or perform FI/AR clearing automatically?</t>
  </si>
  <si>
    <t>Exception scope</t>
  </si>
  <si>
    <t>Are partial payment, overpayment, duplicate payment, and refund required in Phase 1?</t>
  </si>
  <si>
    <t>Medium</t>
  </si>
  <si>
    <t>Rollout scope</t>
  </si>
  <si>
    <t>Is Counter Sales one location/company code, or multiple?</t>
  </si>
  <si>
    <t>Volume</t>
  </si>
  <si>
    <t>What is the expected transaction volume per day?</t>
  </si>
  <si>
    <t>Timeline</t>
  </si>
  <si>
    <t>What is the target go-live date?</t>
  </si>
  <si>
    <t>Commercial Notes</t>
  </si>
  <si>
    <t>Suggested language and guardrails for proposal discussions.</t>
  </si>
  <si>
    <t>Area</t>
  </si>
  <si>
    <t>Guidance</t>
  </si>
  <si>
    <t>Customer-facing answer</t>
  </si>
  <si>
    <t>Yes, this system can be developed. We recommend a short technical discovery first, then a focused Phase 1 for Counter Sales: PayNow QR embedded into SAP Sales Invoice, amount/reference auto-populated, UOB payment notification routed back, and SAP transaction confirmation.</t>
  </si>
  <si>
    <t>Budget strategy</t>
  </si>
  <si>
    <t>Start small. Phase 0 gives customer a low-cost entry point and lets Rikkeisoft avoid unsafe assumptions.</t>
  </si>
  <si>
    <t>Base offer</t>
  </si>
  <si>
    <t>Lean Phase 1 MVP. Keep advanced exception handling, dashboards, Field Power, refunds, partial payments, and multi-bank support outside base scope.</t>
  </si>
  <si>
    <t>Commercial model</t>
  </si>
  <si>
    <t>Phase 0 fixed price. Phase 1 fixed scope or capped T&amp;M. Phase 2 separate estimate after Phase 1.</t>
  </si>
  <si>
    <t>Resource positioning</t>
  </si>
  <si>
    <t>English-speaking PM/engineer is required. ABAP support should be included or reserved depending on SAP output technology.</t>
  </si>
  <si>
    <t>Risk wording</t>
  </si>
  <si>
    <t>QR code generation is straightforward; the main risks are UOB API access/security, bank callback validation, SAP output changes, and SAP FI/AR reconciliation.</t>
  </si>
  <si>
    <t>Reference experience wording</t>
  </si>
  <si>
    <t>If exact PayNow/UOB/SAP reference is not verified, say Rikkeisoft has similar enterprise integration experience and will confirm exact reference internally.</t>
  </si>
  <si>
    <t>Do not include</t>
  </si>
  <si>
    <t>Do not include bank onboarding delays, major SAP redesign, full auto-clearing, Field Power, or advanced monitoring in the lowest-cost base quote.</t>
  </si>
  <si>
    <t>Presale next action</t>
  </si>
  <si>
    <t>Propose Phase 0 discovery with SCSKAP and UOB/SAP stakeholders.</t>
  </si>
  <si>
    <t>References</t>
  </si>
  <si>
    <t>Public source links used to ground the terminology and integration assumptions.</t>
  </si>
  <si>
    <t>Source</t>
  </si>
  <si>
    <t>Relevance</t>
  </si>
  <si>
    <t>URL</t>
  </si>
  <si>
    <t>ABS PayNow</t>
  </si>
  <si>
    <t>PayNow Corporate supports entities receiving SGD through UEN and QR payments.</t>
  </si>
  <si>
    <t>https://www.abs.org.sg/e-payments/pay-now</t>
  </si>
  <si>
    <t>UOB PayNow Corporate</t>
  </si>
  <si>
    <t>UOB supports PayNow Corporate and SGQR collection via UEN/QR.</t>
  </si>
  <si>
    <t>https://www.uobgroup.com.sg/business/transact/payments/paynow-corporate.page</t>
  </si>
  <si>
    <t>UOB API Services</t>
  </si>
  <si>
    <t>UOB API services include FAST/PayNow services and Credit/Debit Notification API.</t>
  </si>
  <si>
    <t>https://www.uobgroup.com/business/digital/uob-api-services.page</t>
  </si>
  <si>
    <t>SAP Invoice Forms</t>
  </si>
  <si>
    <t>SAP invoice forms/output can be configured for billing document printing/PDF output.</t>
  </si>
  <si>
    <t>https://help.sap.com/docs/SAP_S4HANA_CLOUD/ddd685ebd8614e7b8d8eaf4d001e7c40/7ea0b78d5d8e48b5a5078f618ce2a747.html</t>
  </si>
  <si>
    <t>Phase 1 Counter Sales:</t>
  </si>
  <si>
    <t>Customer comes to counter.</t>
  </si>
  <si>
    <t>Staff creates SAP Sales Invoice.</t>
  </si>
  <si>
    <t>Invoice has PayNow QR.</t>
  </si>
  <si>
    <t>Customer scans and pays at counter.</t>
  </si>
  <si>
    <t>UOB sends payment notification.</t>
  </si>
  <si>
    <t>SAP is updated.</t>
  </si>
  <si>
    <t>Phase 2 Field Power/mobile/field sales:</t>
  </si>
  <si>
    <t>Salesperson or technician visits customer site.</t>
  </si>
  <si>
    <t>They use a mobile/tablet app.</t>
  </si>
  <si>
    <t>They create invoice/payment request from the field.</t>
  </si>
  <si>
    <t>App shows or generates PayNow QR.</t>
  </si>
  <si>
    <t>Customer scans and pays on-site.</t>
  </si>
  <si>
    <t>SAP and the mobile/field system both show payment completed.</t>
  </si>
  <si>
    <t>Why It Is More Complex Than Counter Sales</t>
  </si>
  <si>
    <t>Field/mobile flow usually adds more work because:</t>
  </si>
  <si>
    <t>Mobile app may need online/offline support.</t>
  </si>
  <si>
    <t>User may be outside company network.</t>
  </si>
  <si>
    <t>Payment status must sync between mobile app, SAP, and bank.</t>
  </si>
  <si>
    <t>QR may need to be shown on mobile instead of printed invoice.</t>
  </si>
  <si>
    <t>Need handle failed sync, duplicate payment, wrong amount, lost connection.</t>
  </si>
  <si>
    <t>Field users may need receipt/payment confirmation immediately.</t>
  </si>
  <si>
    <t>Chiến lược nên dùng</t>
  </si>
  <si>
    <t>Vì khách nói budget thấp, không nên báo giá full scope ngay. Cách tiếp cận tốt nhất là chia thành:</t>
  </si>
  <si>
    <t>Phase 0 - Paid discovery/design nhỏ</t>
  </si>
  <si>
    <t>Mục tiêu: xác nhận SAP version, invoice output, UOB API, webhook, QR format, reconciliation rule.</t>
  </si>
  <si>
    <r>
      <t>Effort: </t>
    </r>
    <r>
      <rPr>
        <sz val="14"/>
        <color rgb="FF1A1C1F"/>
        <rFont val="Arial"/>
        <family val="2"/>
      </rPr>
      <t>5-8 MD</t>
    </r>
  </si>
  <si>
    <t>Phase 1 - Lean MVP cho Counter Sales</t>
  </si>
  <si>
    <t>Chỉ làm phần tạo QR trên SAP invoice, scan PayNow, nhận notification từ UOB/SG Bank, match invoice reference, cập nhật/confirm SAP.</t>
  </si>
  <si>
    <r>
      <t>Effort: </t>
    </r>
    <r>
      <rPr>
        <sz val="14"/>
        <color rgb="FF1A1C1F"/>
        <rFont val="Arial"/>
        <family val="2"/>
      </rPr>
      <t>45-75 MD</t>
    </r>
  </si>
  <si>
    <t>Phase 2 - Field Power Integration</t>
  </si>
  <si>
    <t>Để sau, không đưa vào base price.</t>
  </si>
  <si>
    <r>
      <t>Effort: </t>
    </r>
    <r>
      <rPr>
        <sz val="14"/>
        <color rgb="FF1A1C1F"/>
        <rFont val="Arial"/>
        <family val="2"/>
      </rPr>
      <t>30-50 MD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</si>
</sst>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name val="Carlito"/>
    </font>
    <font>
      <b/>
      <sz val="22"/>
      <color rgb="FF0F172A"/>
      <name val="Carlito"/>
    </font>
    <font>
      <sz val="11"/>
      <color rgb="FF6B7280"/>
      <name val="Carlito"/>
    </font>
    <font>
      <b/>
      <sz val="14"/>
      <color rgb="FF0F172A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EA580C"/>
      <name val="Carlito"/>
    </font>
    <font>
      <b/>
      <sz val="11"/>
      <color rgb="FF2563EB"/>
      <name val="Carlito"/>
    </font>
    <font>
      <b/>
      <sz val="11"/>
      <name val="Carlito"/>
    </font>
    <font>
      <sz val="14"/>
      <color rgb="FF1A1C1F"/>
      <name val="Arial"/>
      <family val="2"/>
    </font>
    <font>
      <sz val="14"/>
      <color rgb="FF1A1C1F"/>
      <name val="Arial"/>
      <family val="2"/>
    </font>
    <font>
      <sz val="14"/>
      <color rgb="FF1A1C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7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3" fillId="5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A1C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A1C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A1C1F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Effort Range by Option (MD)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 MD</c:v>
          </c:tx>
          <c:invertIfNegative val="1"/>
          <c:cat>
            <c:strRef>
              <c:f>Dashboard!$J$5:$J$8</c:f>
              <c:strCache>
                <c:ptCount val="4"/>
                <c:pt idx="0">
                  <c:v>Phase 0</c:v>
                </c:pt>
                <c:pt idx="1">
                  <c:v>Lean P1</c:v>
                </c:pt>
                <c:pt idx="2">
                  <c:v>Standard P1</c:v>
                </c:pt>
                <c:pt idx="3">
                  <c:v>Phase 2</c:v>
                </c:pt>
              </c:strCache>
            </c:strRef>
          </c:cat>
          <c:val>
            <c:numRef>
              <c:f>Dashboard!$K$5:$K$8</c:f>
              <c:numCache>
                <c:formatCode>General</c:formatCode>
                <c:ptCount val="4"/>
                <c:pt idx="0">
                  <c:v>5</c:v>
                </c:pt>
                <c:pt idx="1">
                  <c:v>45</c:v>
                </c:pt>
                <c:pt idx="2">
                  <c:v>70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9-034B-850A-BF3EDDABB8C4}"/>
            </c:ext>
          </c:extLst>
        </c:ser>
        <c:ser>
          <c:idx val="1"/>
          <c:order val="1"/>
          <c:tx>
            <c:v>Max MD</c:v>
          </c:tx>
          <c:invertIfNegative val="1"/>
          <c:cat>
            <c:strRef>
              <c:f>Dashboard!$J$5:$J$8</c:f>
              <c:strCache>
                <c:ptCount val="4"/>
                <c:pt idx="0">
                  <c:v>Phase 0</c:v>
                </c:pt>
                <c:pt idx="1">
                  <c:v>Lean P1</c:v>
                </c:pt>
                <c:pt idx="2">
                  <c:v>Standard P1</c:v>
                </c:pt>
                <c:pt idx="3">
                  <c:v>Phase 2</c:v>
                </c:pt>
              </c:strCache>
            </c:strRef>
          </c:cat>
          <c:val>
            <c:numRef>
              <c:f>Dashboard!$L$5:$L$8</c:f>
              <c:numCache>
                <c:formatCode>General</c:formatCode>
                <c:ptCount val="4"/>
                <c:pt idx="0">
                  <c:v>8</c:v>
                </c:pt>
                <c:pt idx="1">
                  <c:v>75</c:v>
                </c:pt>
                <c:pt idx="2">
                  <c:v>110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9-034B-850A-BF3EDDABB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910167</xdr:colOff>
      <xdr:row>9</xdr:row>
      <xdr:rowOff>105833</xdr:rowOff>
    </xdr:from>
    <xdr:ext cx="4953000" cy="2952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A7058-77CD-844F-8D9C-46C897DCF346}" name="Table1" displayName="Table1" ref="B23:B36" totalsRowShown="0" headerRowDxfId="0" dataDxfId="1">
  <autoFilter ref="B23:B36" xr:uid="{425A7058-77CD-844F-8D9C-46C897DCF346}"/>
  <tableColumns count="1">
    <tableColumn id="1" xr3:uid="{84A221C2-3F38-BC4E-A886-42F4AD579503}" name="Chiến lược nên dù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opLeftCell="A11" zoomScale="120" zoomScaleNormal="120" workbookViewId="0">
      <selection activeCell="A24" sqref="A24"/>
    </sheetView>
  </sheetViews>
  <sheetFormatPr baseColWidth="10" defaultColWidth="8.83203125" defaultRowHeight="14"/>
  <cols>
    <col min="1" max="1" width="21.83203125" customWidth="1"/>
    <col min="2" max="2" width="19.33203125" customWidth="1"/>
    <col min="3" max="4" width="16.5" customWidth="1"/>
    <col min="5" max="5" width="20" customWidth="1"/>
    <col min="6" max="6" width="22.83203125" customWidth="1"/>
    <col min="7" max="8" width="25" customWidth="1"/>
    <col min="9" max="9" width="2.1640625" customWidth="1"/>
    <col min="10" max="10" width="19.33203125" customWidth="1"/>
    <col min="11" max="12" width="12.1640625" customWidth="1"/>
  </cols>
  <sheetData>
    <row r="1" spans="1:12" ht="28">
      <c r="A1" s="10" t="s">
        <v>0</v>
      </c>
      <c r="B1" s="11"/>
      <c r="C1" s="11"/>
      <c r="D1" s="11"/>
      <c r="E1" s="11"/>
      <c r="F1" s="11"/>
      <c r="G1" s="11"/>
      <c r="H1" s="11"/>
      <c r="I1" s="6"/>
      <c r="J1" s="6"/>
      <c r="K1" s="6"/>
      <c r="L1" s="6"/>
    </row>
    <row r="2" spans="1:12">
      <c r="A2" s="12" t="s">
        <v>1</v>
      </c>
      <c r="B2" s="11"/>
      <c r="C2" s="11"/>
      <c r="D2" s="11"/>
      <c r="E2" s="11"/>
      <c r="F2" s="11"/>
      <c r="G2" s="11"/>
      <c r="H2" s="11"/>
      <c r="I2" s="6"/>
      <c r="J2" s="6"/>
      <c r="K2" s="6"/>
      <c r="L2" s="6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8">
      <c r="A4" s="13" t="s">
        <v>2</v>
      </c>
      <c r="B4" s="11"/>
      <c r="C4" s="11"/>
      <c r="D4" s="11"/>
      <c r="E4" s="11"/>
      <c r="F4" s="11"/>
      <c r="G4" s="11"/>
      <c r="H4" s="11"/>
      <c r="I4" s="6"/>
      <c r="J4" s="7" t="s">
        <v>3</v>
      </c>
      <c r="K4" s="7" t="s">
        <v>4</v>
      </c>
      <c r="L4" s="7" t="s">
        <v>5</v>
      </c>
    </row>
    <row r="5" spans="1:12">
      <c r="A5" s="14" t="s">
        <v>6</v>
      </c>
      <c r="B5" s="14"/>
      <c r="C5" s="14"/>
      <c r="D5" s="14"/>
      <c r="E5" s="14"/>
      <c r="F5" s="14"/>
      <c r="G5" s="14"/>
      <c r="H5" s="14"/>
      <c r="I5" s="6"/>
      <c r="J5" s="7" t="s">
        <v>7</v>
      </c>
      <c r="K5" s="7">
        <v>5</v>
      </c>
      <c r="L5" s="7">
        <v>8</v>
      </c>
    </row>
    <row r="6" spans="1:12">
      <c r="A6" s="14"/>
      <c r="B6" s="14"/>
      <c r="C6" s="14"/>
      <c r="D6" s="14"/>
      <c r="E6" s="14"/>
      <c r="F6" s="14"/>
      <c r="G6" s="14"/>
      <c r="H6" s="14"/>
      <c r="I6" s="6"/>
      <c r="J6" s="7" t="s">
        <v>8</v>
      </c>
      <c r="K6" s="7">
        <v>45</v>
      </c>
      <c r="L6" s="7">
        <v>75</v>
      </c>
    </row>
    <row r="7" spans="1:12">
      <c r="A7" s="14"/>
      <c r="B7" s="14"/>
      <c r="C7" s="14"/>
      <c r="D7" s="14"/>
      <c r="E7" s="14"/>
      <c r="F7" s="14"/>
      <c r="G7" s="14"/>
      <c r="H7" s="14"/>
      <c r="I7" s="6"/>
      <c r="J7" s="7" t="s">
        <v>9</v>
      </c>
      <c r="K7" s="7">
        <v>70</v>
      </c>
      <c r="L7" s="7">
        <v>110</v>
      </c>
    </row>
    <row r="8" spans="1:12">
      <c r="A8" s="14"/>
      <c r="B8" s="14"/>
      <c r="C8" s="14"/>
      <c r="D8" s="14"/>
      <c r="E8" s="14"/>
      <c r="F8" s="14"/>
      <c r="G8" s="14"/>
      <c r="H8" s="14"/>
      <c r="I8" s="6"/>
      <c r="J8" s="7" t="s">
        <v>10</v>
      </c>
      <c r="K8" s="7">
        <v>30</v>
      </c>
      <c r="L8" s="7">
        <v>50</v>
      </c>
    </row>
    <row r="9" spans="1:1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6">
      <c r="A10" s="8" t="s">
        <v>3</v>
      </c>
      <c r="B10" s="8" t="s">
        <v>4</v>
      </c>
      <c r="C10" s="8" t="s">
        <v>5</v>
      </c>
      <c r="D10" s="8" t="s">
        <v>11</v>
      </c>
      <c r="E10" s="8" t="s">
        <v>12</v>
      </c>
      <c r="F10" s="6"/>
      <c r="G10" s="6"/>
      <c r="H10" s="6"/>
      <c r="I10" s="6"/>
      <c r="J10" s="6"/>
      <c r="K10" s="6"/>
      <c r="L10" s="6"/>
    </row>
    <row r="11" spans="1:12" ht="15">
      <c r="A11" s="1" t="s">
        <v>13</v>
      </c>
      <c r="B11" s="2">
        <f>'Phase Estimates'!C5</f>
        <v>5</v>
      </c>
      <c r="C11" s="2">
        <f>'Phase Estimates'!D5</f>
        <v>8</v>
      </c>
      <c r="D11" s="2">
        <f>'Phase Estimates'!E5</f>
        <v>6.5</v>
      </c>
      <c r="E11" s="1" t="s">
        <v>14</v>
      </c>
      <c r="F11" s="6"/>
      <c r="G11" s="6"/>
      <c r="H11" s="6"/>
      <c r="I11" s="6"/>
      <c r="J11" s="6"/>
      <c r="K11" s="6"/>
      <c r="L11" s="6"/>
    </row>
    <row r="12" spans="1:12" ht="15">
      <c r="A12" s="1" t="s">
        <v>15</v>
      </c>
      <c r="B12" s="2">
        <f>'Phase Estimates'!C6</f>
        <v>45</v>
      </c>
      <c r="C12" s="2">
        <f>'Phase Estimates'!D6</f>
        <v>75</v>
      </c>
      <c r="D12" s="2">
        <f>'Phase Estimates'!E6</f>
        <v>60</v>
      </c>
      <c r="E12" s="1" t="s">
        <v>16</v>
      </c>
      <c r="F12" s="6"/>
      <c r="G12" s="6"/>
      <c r="H12" s="6"/>
      <c r="I12" s="6"/>
      <c r="J12" s="6"/>
      <c r="K12" s="6"/>
      <c r="L12" s="6"/>
    </row>
    <row r="13" spans="1:12" ht="30">
      <c r="A13" s="1" t="s">
        <v>17</v>
      </c>
      <c r="B13" s="2">
        <f>'Phase Estimates'!C7</f>
        <v>70</v>
      </c>
      <c r="C13" s="2">
        <f>'Phase Estimates'!D7</f>
        <v>110</v>
      </c>
      <c r="D13" s="2">
        <f>'Phase Estimates'!E7</f>
        <v>90</v>
      </c>
      <c r="E13" s="1" t="s">
        <v>18</v>
      </c>
      <c r="F13" s="6"/>
      <c r="G13" s="6"/>
      <c r="H13" s="6"/>
      <c r="I13" s="6"/>
      <c r="J13" s="6"/>
      <c r="K13" s="6"/>
      <c r="L13" s="6"/>
    </row>
    <row r="14" spans="1:12" ht="15">
      <c r="A14" s="1" t="s">
        <v>19</v>
      </c>
      <c r="B14" s="2">
        <f>'Phase Estimates'!C8</f>
        <v>30</v>
      </c>
      <c r="C14" s="2">
        <f>'Phase Estimates'!D8</f>
        <v>50</v>
      </c>
      <c r="D14" s="2">
        <f>'Phase Estimates'!E8</f>
        <v>40</v>
      </c>
      <c r="E14" s="1" t="s">
        <v>20</v>
      </c>
      <c r="F14" s="6"/>
      <c r="G14" s="6"/>
      <c r="H14" s="6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8">
      <c r="A16" s="15" t="s">
        <v>21</v>
      </c>
      <c r="B16" s="11"/>
      <c r="C16" s="11"/>
      <c r="D16" s="11"/>
      <c r="E16" s="11"/>
      <c r="F16" s="11"/>
      <c r="G16" s="11"/>
      <c r="H16" s="11"/>
      <c r="I16" s="6"/>
      <c r="J16" s="6"/>
      <c r="K16" s="6"/>
      <c r="L16" s="6"/>
    </row>
    <row r="17" spans="1:12" ht="15">
      <c r="A17" s="17">
        <v>1</v>
      </c>
      <c r="B17" s="16" t="s">
        <v>23</v>
      </c>
      <c r="C17" s="16"/>
      <c r="D17" s="16"/>
      <c r="E17" s="16"/>
      <c r="F17" s="16"/>
      <c r="G17" s="16"/>
      <c r="H17" s="16"/>
      <c r="I17" s="6"/>
      <c r="J17" s="6"/>
      <c r="K17" s="6"/>
      <c r="L17" s="6"/>
    </row>
    <row r="18" spans="1:12" ht="15">
      <c r="A18" s="17">
        <v>2</v>
      </c>
      <c r="B18" s="16" t="s">
        <v>25</v>
      </c>
      <c r="C18" s="16"/>
      <c r="D18" s="16"/>
      <c r="E18" s="16"/>
      <c r="F18" s="16"/>
      <c r="G18" s="16"/>
      <c r="H18" s="16"/>
      <c r="I18" s="6"/>
      <c r="J18" s="6"/>
      <c r="K18" s="6"/>
      <c r="L18" s="6"/>
    </row>
    <row r="19" spans="1:12" ht="15">
      <c r="A19" s="17">
        <v>3</v>
      </c>
      <c r="B19" s="16" t="s">
        <v>27</v>
      </c>
      <c r="C19" s="16"/>
      <c r="D19" s="16"/>
      <c r="E19" s="16"/>
      <c r="F19" s="16"/>
      <c r="G19" s="16"/>
      <c r="H19" s="16"/>
      <c r="I19" s="6"/>
      <c r="J19" s="6"/>
      <c r="K19" s="6"/>
      <c r="L19" s="6"/>
    </row>
    <row r="20" spans="1:12" ht="15">
      <c r="A20" s="17">
        <v>4</v>
      </c>
      <c r="B20" s="16" t="s">
        <v>29</v>
      </c>
      <c r="C20" s="16"/>
      <c r="D20" s="16"/>
      <c r="E20" s="16"/>
      <c r="F20" s="16"/>
      <c r="G20" s="16"/>
      <c r="H20" s="16"/>
      <c r="I20" s="6"/>
      <c r="J20" s="6"/>
      <c r="K20" s="6"/>
      <c r="L20" s="6"/>
    </row>
    <row r="21" spans="1:12">
      <c r="A21" s="1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</row>
    <row r="22" spans="1:12">
      <c r="A22" s="1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</row>
  </sheetData>
  <mergeCells count="9">
    <mergeCell ref="B17:H17"/>
    <mergeCell ref="B18:H18"/>
    <mergeCell ref="B19:H19"/>
    <mergeCell ref="B20:H20"/>
    <mergeCell ref="A1:H1"/>
    <mergeCell ref="A2:H2"/>
    <mergeCell ref="A4:H4"/>
    <mergeCell ref="A5:H8"/>
    <mergeCell ref="A16:H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workbookViewId="0">
      <selection activeCell="B8" sqref="B8"/>
    </sheetView>
  </sheetViews>
  <sheetFormatPr baseColWidth="10" defaultColWidth="8.83203125" defaultRowHeight="14"/>
  <cols>
    <col min="1" max="1" width="10.6640625" customWidth="1"/>
    <col min="2" max="2" width="39.33203125" customWidth="1"/>
    <col min="3" max="5" width="12.1640625" customWidth="1"/>
    <col min="6" max="7" width="25" customWidth="1"/>
    <col min="8" max="8" width="27.83203125" customWidth="1"/>
    <col min="9" max="9" width="25" customWidth="1"/>
  </cols>
  <sheetData>
    <row r="1" spans="1:9" ht="28">
      <c r="A1" s="10" t="s">
        <v>30</v>
      </c>
      <c r="B1" s="11"/>
      <c r="C1" s="11"/>
      <c r="D1" s="11"/>
      <c r="E1" s="11"/>
      <c r="F1" s="11"/>
      <c r="G1" s="11"/>
      <c r="H1" s="11"/>
      <c r="I1" s="6"/>
    </row>
    <row r="2" spans="1:9">
      <c r="A2" s="12" t="s">
        <v>31</v>
      </c>
      <c r="B2" s="11"/>
      <c r="C2" s="11"/>
      <c r="D2" s="11"/>
      <c r="E2" s="11"/>
      <c r="F2" s="11"/>
      <c r="G2" s="11"/>
      <c r="H2" s="11"/>
      <c r="I2" s="6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 ht="16">
      <c r="A4" s="8" t="s">
        <v>32</v>
      </c>
      <c r="B4" s="8" t="s">
        <v>33</v>
      </c>
      <c r="C4" s="8" t="s">
        <v>4</v>
      </c>
      <c r="D4" s="8" t="s">
        <v>5</v>
      </c>
      <c r="E4" s="8" t="s">
        <v>11</v>
      </c>
      <c r="F4" s="8" t="s">
        <v>34</v>
      </c>
      <c r="G4" s="8" t="s">
        <v>35</v>
      </c>
      <c r="H4" s="8" t="s">
        <v>36</v>
      </c>
      <c r="I4" s="8" t="s">
        <v>37</v>
      </c>
    </row>
    <row r="5" spans="1:9" ht="45">
      <c r="A5" s="1" t="s">
        <v>38</v>
      </c>
      <c r="B5" s="1" t="s">
        <v>39</v>
      </c>
      <c r="C5" s="2">
        <f>SUMIF('Work Breakdown'!$A:$A,A5,'Work Breakdown'!$C:$C)</f>
        <v>5</v>
      </c>
      <c r="D5" s="2">
        <f>SUMIF('Work Breakdown'!$A:$A,A5,'Work Breakdown'!$D:$D)</f>
        <v>8</v>
      </c>
      <c r="E5" s="2">
        <f>(C5+D5)/2</f>
        <v>6.5</v>
      </c>
      <c r="F5" s="1" t="s">
        <v>40</v>
      </c>
      <c r="G5" s="1" t="s">
        <v>41</v>
      </c>
      <c r="H5" s="1" t="s">
        <v>42</v>
      </c>
      <c r="I5" s="1" t="s">
        <v>43</v>
      </c>
    </row>
    <row r="6" spans="1:9" ht="45">
      <c r="A6" s="1" t="s">
        <v>44</v>
      </c>
      <c r="B6" s="1" t="s">
        <v>15</v>
      </c>
      <c r="C6" s="2">
        <f>SUMIF('Work Breakdown'!$A:$A,A6,'Work Breakdown'!$C:$C)</f>
        <v>45</v>
      </c>
      <c r="D6" s="2">
        <f>SUMIF('Work Breakdown'!$A:$A,A6,'Work Breakdown'!$D:$D)</f>
        <v>75</v>
      </c>
      <c r="E6" s="2">
        <f>(C6+D6)/2</f>
        <v>60</v>
      </c>
      <c r="F6" s="1" t="s">
        <v>16</v>
      </c>
      <c r="G6" s="1" t="s">
        <v>45</v>
      </c>
      <c r="H6" s="1" t="s">
        <v>46</v>
      </c>
      <c r="I6" s="1" t="s">
        <v>47</v>
      </c>
    </row>
    <row r="7" spans="1:9" ht="45">
      <c r="A7" s="1" t="s">
        <v>48</v>
      </c>
      <c r="B7" s="1" t="s">
        <v>17</v>
      </c>
      <c r="C7" s="2">
        <f>SUMIF('Work Breakdown'!$A:$A,A7,'Work Breakdown'!$C:$C)</f>
        <v>70</v>
      </c>
      <c r="D7" s="2">
        <f>SUMIF('Work Breakdown'!$A:$A,A7,'Work Breakdown'!$D:$D)</f>
        <v>110</v>
      </c>
      <c r="E7" s="2">
        <f>(C7+D7)/2</f>
        <v>90</v>
      </c>
      <c r="F7" s="1" t="s">
        <v>49</v>
      </c>
      <c r="G7" s="1" t="s">
        <v>50</v>
      </c>
      <c r="H7" s="1" t="s">
        <v>51</v>
      </c>
      <c r="I7" s="1" t="s">
        <v>52</v>
      </c>
    </row>
    <row r="8" spans="1:9" ht="30">
      <c r="A8" s="1" t="s">
        <v>53</v>
      </c>
      <c r="B8" s="1" t="s">
        <v>54</v>
      </c>
      <c r="C8" s="2">
        <f>SUMIF('Work Breakdown'!$A:$A,A8,'Work Breakdown'!$C:$C)</f>
        <v>30</v>
      </c>
      <c r="D8" s="2">
        <f>SUMIF('Work Breakdown'!$A:$A,A8,'Work Breakdown'!$D:$D)</f>
        <v>50</v>
      </c>
      <c r="E8" s="2">
        <f>(C8+D8)/2</f>
        <v>40</v>
      </c>
      <c r="F8" s="1" t="s">
        <v>55</v>
      </c>
      <c r="G8" s="1" t="s">
        <v>56</v>
      </c>
      <c r="H8" s="1" t="s">
        <v>57</v>
      </c>
      <c r="I8" s="1" t="s">
        <v>58</v>
      </c>
    </row>
    <row r="9" spans="1:9">
      <c r="A9" s="6"/>
      <c r="B9" s="6"/>
      <c r="C9" s="6"/>
      <c r="D9" s="6"/>
      <c r="E9" s="6"/>
      <c r="F9" s="6"/>
      <c r="G9" s="6"/>
      <c r="H9" s="6"/>
      <c r="I9" s="6"/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 ht="18">
      <c r="A11" s="9" t="s">
        <v>59</v>
      </c>
      <c r="B11" s="6"/>
      <c r="C11" s="6"/>
      <c r="D11" s="6"/>
      <c r="E11" s="6"/>
      <c r="F11" s="6"/>
      <c r="G11" s="6"/>
      <c r="H11" s="6"/>
      <c r="I11" s="6"/>
    </row>
    <row r="12" spans="1:9" ht="16">
      <c r="A12" s="3" t="s">
        <v>22</v>
      </c>
      <c r="B12" s="16" t="s">
        <v>60</v>
      </c>
      <c r="C12" s="16"/>
      <c r="D12" s="16"/>
      <c r="E12" s="16"/>
      <c r="F12" s="16"/>
      <c r="G12" s="16"/>
      <c r="H12" s="16"/>
      <c r="I12" s="16"/>
    </row>
    <row r="13" spans="1:9" ht="16">
      <c r="A13" s="3" t="s">
        <v>24</v>
      </c>
      <c r="B13" s="16" t="s">
        <v>61</v>
      </c>
      <c r="C13" s="16"/>
      <c r="D13" s="16"/>
      <c r="E13" s="16"/>
      <c r="F13" s="16"/>
      <c r="G13" s="16"/>
      <c r="H13" s="16"/>
      <c r="I13" s="16"/>
    </row>
    <row r="14" spans="1:9" ht="16">
      <c r="A14" s="3" t="s">
        <v>26</v>
      </c>
      <c r="B14" s="16" t="s">
        <v>62</v>
      </c>
      <c r="C14" s="16"/>
      <c r="D14" s="16"/>
      <c r="E14" s="16"/>
      <c r="F14" s="16"/>
      <c r="G14" s="16"/>
      <c r="H14" s="16"/>
      <c r="I14" s="16"/>
    </row>
    <row r="15" spans="1:9" ht="16">
      <c r="A15" s="3" t="s">
        <v>28</v>
      </c>
      <c r="B15" s="16" t="s">
        <v>63</v>
      </c>
      <c r="C15" s="16"/>
      <c r="D15" s="16"/>
      <c r="E15" s="16"/>
      <c r="F15" s="16"/>
      <c r="G15" s="16"/>
      <c r="H15" s="16"/>
      <c r="I15" s="16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</sheetData>
  <mergeCells count="6">
    <mergeCell ref="B15:I15"/>
    <mergeCell ref="A1:H1"/>
    <mergeCell ref="A2:H2"/>
    <mergeCell ref="B12:I12"/>
    <mergeCell ref="B13:I13"/>
    <mergeCell ref="B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workbookViewId="0">
      <selection sqref="A1:H1"/>
    </sheetView>
  </sheetViews>
  <sheetFormatPr baseColWidth="10" defaultColWidth="8.83203125" defaultRowHeight="14"/>
  <cols>
    <col min="1" max="1" width="9.33203125" customWidth="1"/>
    <col min="2" max="2" width="46.5" customWidth="1"/>
    <col min="3" max="5" width="12.1640625" customWidth="1"/>
    <col min="6" max="6" width="15.6640625" customWidth="1"/>
    <col min="7" max="7" width="50.6640625" customWidth="1"/>
  </cols>
  <sheetData>
    <row r="1" spans="1:8" ht="28">
      <c r="A1" s="10" t="s">
        <v>64</v>
      </c>
      <c r="B1" s="11"/>
      <c r="C1" s="11"/>
      <c r="D1" s="11"/>
      <c r="E1" s="11"/>
      <c r="F1" s="11"/>
      <c r="G1" s="11"/>
      <c r="H1" s="11"/>
    </row>
    <row r="2" spans="1:8">
      <c r="A2" s="12" t="s">
        <v>65</v>
      </c>
      <c r="B2" s="11"/>
      <c r="C2" s="11"/>
      <c r="D2" s="11"/>
      <c r="E2" s="11"/>
      <c r="F2" s="11"/>
      <c r="G2" s="11"/>
      <c r="H2" s="11"/>
    </row>
    <row r="3" spans="1:8">
      <c r="A3" s="6"/>
      <c r="B3" s="6"/>
      <c r="C3" s="6"/>
      <c r="D3" s="6"/>
      <c r="E3" s="6"/>
      <c r="F3" s="6"/>
      <c r="G3" s="6"/>
      <c r="H3" s="6"/>
    </row>
    <row r="4" spans="1:8" ht="16">
      <c r="A4" s="8" t="s">
        <v>32</v>
      </c>
      <c r="B4" s="8" t="s">
        <v>66</v>
      </c>
      <c r="C4" s="8" t="s">
        <v>4</v>
      </c>
      <c r="D4" s="8" t="s">
        <v>5</v>
      </c>
      <c r="E4" s="8" t="s">
        <v>11</v>
      </c>
      <c r="F4" s="8" t="s">
        <v>67</v>
      </c>
      <c r="G4" s="8" t="s">
        <v>68</v>
      </c>
      <c r="H4" s="6"/>
    </row>
    <row r="5" spans="1:8" ht="15">
      <c r="A5" s="1" t="s">
        <v>38</v>
      </c>
      <c r="B5" s="1" t="s">
        <v>69</v>
      </c>
      <c r="C5" s="4">
        <v>1</v>
      </c>
      <c r="D5" s="4">
        <v>2</v>
      </c>
      <c r="E5" s="4">
        <f t="shared" ref="E5:E32" si="0">(C5+D5)/2</f>
        <v>1.5</v>
      </c>
      <c r="F5" s="1" t="s">
        <v>70</v>
      </c>
      <c r="G5" s="1" t="s">
        <v>71</v>
      </c>
      <c r="H5" s="6"/>
    </row>
    <row r="6" spans="1:8" ht="15">
      <c r="A6" s="1" t="s">
        <v>38</v>
      </c>
      <c r="B6" s="1" t="s">
        <v>72</v>
      </c>
      <c r="C6" s="4">
        <v>1</v>
      </c>
      <c r="D6" s="4">
        <v>2</v>
      </c>
      <c r="E6" s="4">
        <f t="shared" si="0"/>
        <v>1.5</v>
      </c>
      <c r="F6" s="1" t="s">
        <v>70</v>
      </c>
      <c r="G6" s="1" t="s">
        <v>73</v>
      </c>
      <c r="H6" s="6"/>
    </row>
    <row r="7" spans="1:8" ht="15">
      <c r="A7" s="1" t="s">
        <v>38</v>
      </c>
      <c r="B7" s="1" t="s">
        <v>74</v>
      </c>
      <c r="C7" s="4">
        <v>1</v>
      </c>
      <c r="D7" s="4">
        <v>2</v>
      </c>
      <c r="E7" s="4">
        <f t="shared" si="0"/>
        <v>1.5</v>
      </c>
      <c r="F7" s="1" t="s">
        <v>70</v>
      </c>
      <c r="G7" s="1" t="s">
        <v>75</v>
      </c>
      <c r="H7" s="6"/>
    </row>
    <row r="8" spans="1:8" ht="15">
      <c r="A8" s="1" t="s">
        <v>38</v>
      </c>
      <c r="B8" s="1" t="s">
        <v>76</v>
      </c>
      <c r="C8" s="4">
        <v>1</v>
      </c>
      <c r="D8" s="4">
        <v>1</v>
      </c>
      <c r="E8" s="4">
        <f t="shared" si="0"/>
        <v>1</v>
      </c>
      <c r="F8" s="1" t="s">
        <v>70</v>
      </c>
      <c r="G8" s="1" t="s">
        <v>77</v>
      </c>
      <c r="H8" s="6"/>
    </row>
    <row r="9" spans="1:8" ht="15">
      <c r="A9" s="1" t="s">
        <v>38</v>
      </c>
      <c r="B9" s="1" t="s">
        <v>78</v>
      </c>
      <c r="C9" s="4">
        <v>1</v>
      </c>
      <c r="D9" s="4">
        <v>1</v>
      </c>
      <c r="E9" s="4">
        <f t="shared" si="0"/>
        <v>1</v>
      </c>
      <c r="F9" s="1" t="s">
        <v>70</v>
      </c>
      <c r="G9" s="1" t="s">
        <v>79</v>
      </c>
      <c r="H9" s="6"/>
    </row>
    <row r="10" spans="1:8" ht="15">
      <c r="A10" s="1" t="s">
        <v>44</v>
      </c>
      <c r="B10" s="1" t="s">
        <v>80</v>
      </c>
      <c r="C10" s="4">
        <v>2</v>
      </c>
      <c r="D10" s="4">
        <v>4</v>
      </c>
      <c r="E10" s="4">
        <f t="shared" si="0"/>
        <v>3</v>
      </c>
      <c r="F10" s="1" t="s">
        <v>70</v>
      </c>
      <c r="G10" s="1" t="s">
        <v>81</v>
      </c>
      <c r="H10" s="6"/>
    </row>
    <row r="11" spans="1:8" ht="15">
      <c r="A11" s="1" t="s">
        <v>44</v>
      </c>
      <c r="B11" s="1" t="s">
        <v>82</v>
      </c>
      <c r="C11" s="4">
        <v>2</v>
      </c>
      <c r="D11" s="4">
        <v>4</v>
      </c>
      <c r="E11" s="4">
        <f t="shared" si="0"/>
        <v>3</v>
      </c>
      <c r="F11" s="1" t="s">
        <v>70</v>
      </c>
      <c r="G11" s="1" t="s">
        <v>83</v>
      </c>
      <c r="H11" s="6"/>
    </row>
    <row r="12" spans="1:8" ht="15">
      <c r="A12" s="1" t="s">
        <v>44</v>
      </c>
      <c r="B12" s="1" t="s">
        <v>84</v>
      </c>
      <c r="C12" s="4">
        <v>6</v>
      </c>
      <c r="D12" s="4">
        <v>10</v>
      </c>
      <c r="E12" s="4">
        <f t="shared" si="0"/>
        <v>8</v>
      </c>
      <c r="F12" s="1" t="s">
        <v>70</v>
      </c>
      <c r="G12" s="1" t="s">
        <v>85</v>
      </c>
      <c r="H12" s="6"/>
    </row>
    <row r="13" spans="1:8" ht="15">
      <c r="A13" s="1" t="s">
        <v>44</v>
      </c>
      <c r="B13" s="1" t="s">
        <v>86</v>
      </c>
      <c r="C13" s="4">
        <v>3</v>
      </c>
      <c r="D13" s="4">
        <v>5</v>
      </c>
      <c r="E13" s="4">
        <f t="shared" si="0"/>
        <v>4</v>
      </c>
      <c r="F13" s="1" t="s">
        <v>70</v>
      </c>
      <c r="G13" s="1" t="s">
        <v>87</v>
      </c>
      <c r="H13" s="6"/>
    </row>
    <row r="14" spans="1:8" ht="15">
      <c r="A14" s="1" t="s">
        <v>44</v>
      </c>
      <c r="B14" s="1" t="s">
        <v>88</v>
      </c>
      <c r="C14" s="4">
        <v>4</v>
      </c>
      <c r="D14" s="4">
        <v>7</v>
      </c>
      <c r="E14" s="4">
        <f t="shared" si="0"/>
        <v>5.5</v>
      </c>
      <c r="F14" s="1" t="s">
        <v>70</v>
      </c>
      <c r="G14" s="1" t="s">
        <v>89</v>
      </c>
      <c r="H14" s="6"/>
    </row>
    <row r="15" spans="1:8" ht="15">
      <c r="A15" s="1" t="s">
        <v>44</v>
      </c>
      <c r="B15" s="1" t="s">
        <v>90</v>
      </c>
      <c r="C15" s="4">
        <v>3</v>
      </c>
      <c r="D15" s="4">
        <v>6</v>
      </c>
      <c r="E15" s="4">
        <f t="shared" si="0"/>
        <v>4.5</v>
      </c>
      <c r="F15" s="1" t="s">
        <v>70</v>
      </c>
      <c r="G15" s="1" t="s">
        <v>91</v>
      </c>
      <c r="H15" s="6"/>
    </row>
    <row r="16" spans="1:8" ht="15">
      <c r="A16" s="1" t="s">
        <v>44</v>
      </c>
      <c r="B16" s="1" t="s">
        <v>92</v>
      </c>
      <c r="C16" s="4">
        <v>4</v>
      </c>
      <c r="D16" s="4">
        <v>6</v>
      </c>
      <c r="E16" s="4">
        <f t="shared" si="0"/>
        <v>5</v>
      </c>
      <c r="F16" s="1" t="s">
        <v>70</v>
      </c>
      <c r="G16" s="1" t="s">
        <v>93</v>
      </c>
      <c r="H16" s="6"/>
    </row>
    <row r="17" spans="1:8" ht="15">
      <c r="A17" s="1" t="s">
        <v>44</v>
      </c>
      <c r="B17" s="1" t="s">
        <v>94</v>
      </c>
      <c r="C17" s="4">
        <v>4</v>
      </c>
      <c r="D17" s="4">
        <v>6</v>
      </c>
      <c r="E17" s="4">
        <f t="shared" si="0"/>
        <v>5</v>
      </c>
      <c r="F17" s="1" t="s">
        <v>70</v>
      </c>
      <c r="G17" s="1" t="s">
        <v>95</v>
      </c>
      <c r="H17" s="6"/>
    </row>
    <row r="18" spans="1:8" ht="15">
      <c r="A18" s="1" t="s">
        <v>44</v>
      </c>
      <c r="B18" s="1" t="s">
        <v>96</v>
      </c>
      <c r="C18" s="4">
        <v>5</v>
      </c>
      <c r="D18" s="4">
        <v>8</v>
      </c>
      <c r="E18" s="4">
        <f t="shared" si="0"/>
        <v>6.5</v>
      </c>
      <c r="F18" s="1" t="s">
        <v>70</v>
      </c>
      <c r="G18" s="1" t="s">
        <v>97</v>
      </c>
      <c r="H18" s="6"/>
    </row>
    <row r="19" spans="1:8" ht="15">
      <c r="A19" s="1" t="s">
        <v>44</v>
      </c>
      <c r="B19" s="1" t="s">
        <v>98</v>
      </c>
      <c r="C19" s="4">
        <v>3</v>
      </c>
      <c r="D19" s="4">
        <v>5</v>
      </c>
      <c r="E19" s="4">
        <f t="shared" si="0"/>
        <v>4</v>
      </c>
      <c r="F19" s="1" t="s">
        <v>70</v>
      </c>
      <c r="G19" s="1" t="s">
        <v>99</v>
      </c>
      <c r="H19" s="6"/>
    </row>
    <row r="20" spans="1:8" ht="15">
      <c r="A20" s="1" t="s">
        <v>44</v>
      </c>
      <c r="B20" s="1" t="s">
        <v>100</v>
      </c>
      <c r="C20" s="4">
        <v>6</v>
      </c>
      <c r="D20" s="4">
        <v>9</v>
      </c>
      <c r="E20" s="4">
        <f t="shared" si="0"/>
        <v>7.5</v>
      </c>
      <c r="F20" s="1" t="s">
        <v>70</v>
      </c>
      <c r="G20" s="1" t="s">
        <v>101</v>
      </c>
      <c r="H20" s="6"/>
    </row>
    <row r="21" spans="1:8" ht="15">
      <c r="A21" s="1" t="s">
        <v>44</v>
      </c>
      <c r="B21" s="1" t="s">
        <v>102</v>
      </c>
      <c r="C21" s="4">
        <v>3</v>
      </c>
      <c r="D21" s="4">
        <v>5</v>
      </c>
      <c r="E21" s="4">
        <f t="shared" si="0"/>
        <v>4</v>
      </c>
      <c r="F21" s="1" t="s">
        <v>70</v>
      </c>
      <c r="G21" s="1" t="s">
        <v>103</v>
      </c>
      <c r="H21" s="6"/>
    </row>
    <row r="22" spans="1:8" ht="15">
      <c r="A22" s="1" t="s">
        <v>48</v>
      </c>
      <c r="B22" s="1" t="s">
        <v>104</v>
      </c>
      <c r="C22" s="4">
        <v>45</v>
      </c>
      <c r="D22" s="4">
        <v>75</v>
      </c>
      <c r="E22" s="4">
        <f t="shared" si="0"/>
        <v>60</v>
      </c>
      <c r="F22" s="1" t="s">
        <v>105</v>
      </c>
      <c r="G22" s="1" t="s">
        <v>106</v>
      </c>
      <c r="H22" s="6"/>
    </row>
    <row r="23" spans="1:8" ht="15">
      <c r="A23" s="1" t="s">
        <v>48</v>
      </c>
      <c r="B23" s="1" t="s">
        <v>107</v>
      </c>
      <c r="C23" s="4">
        <v>4</v>
      </c>
      <c r="D23" s="4">
        <v>5</v>
      </c>
      <c r="E23" s="4">
        <f t="shared" si="0"/>
        <v>4.5</v>
      </c>
      <c r="F23" s="1" t="s">
        <v>108</v>
      </c>
      <c r="G23" s="1" t="s">
        <v>109</v>
      </c>
      <c r="H23" s="6"/>
    </row>
    <row r="24" spans="1:8" ht="30">
      <c r="A24" s="1" t="s">
        <v>48</v>
      </c>
      <c r="B24" s="1" t="s">
        <v>110</v>
      </c>
      <c r="C24" s="4">
        <v>5</v>
      </c>
      <c r="D24" s="4">
        <v>7</v>
      </c>
      <c r="E24" s="4">
        <f t="shared" si="0"/>
        <v>6</v>
      </c>
      <c r="F24" s="1" t="s">
        <v>108</v>
      </c>
      <c r="G24" s="1" t="s">
        <v>111</v>
      </c>
      <c r="H24" s="6"/>
    </row>
    <row r="25" spans="1:8" ht="15">
      <c r="A25" s="1" t="s">
        <v>48</v>
      </c>
      <c r="B25" s="1" t="s">
        <v>112</v>
      </c>
      <c r="C25" s="4">
        <v>8</v>
      </c>
      <c r="D25" s="4">
        <v>12</v>
      </c>
      <c r="E25" s="4">
        <f t="shared" si="0"/>
        <v>10</v>
      </c>
      <c r="F25" s="1" t="s">
        <v>113</v>
      </c>
      <c r="G25" s="1" t="s">
        <v>114</v>
      </c>
      <c r="H25" s="6"/>
    </row>
    <row r="26" spans="1:8" ht="15">
      <c r="A26" s="1" t="s">
        <v>48</v>
      </c>
      <c r="B26" s="1" t="s">
        <v>115</v>
      </c>
      <c r="C26" s="4">
        <v>3</v>
      </c>
      <c r="D26" s="4">
        <v>5</v>
      </c>
      <c r="E26" s="4">
        <f t="shared" si="0"/>
        <v>4</v>
      </c>
      <c r="F26" s="1" t="s">
        <v>113</v>
      </c>
      <c r="G26" s="1" t="s">
        <v>116</v>
      </c>
      <c r="H26" s="6"/>
    </row>
    <row r="27" spans="1:8" ht="15">
      <c r="A27" s="1" t="s">
        <v>48</v>
      </c>
      <c r="B27" s="1" t="s">
        <v>117</v>
      </c>
      <c r="C27" s="4">
        <v>5</v>
      </c>
      <c r="D27" s="4">
        <v>6</v>
      </c>
      <c r="E27" s="4">
        <f t="shared" si="0"/>
        <v>5.5</v>
      </c>
      <c r="F27" s="1" t="s">
        <v>108</v>
      </c>
      <c r="G27" s="1" t="s">
        <v>118</v>
      </c>
      <c r="H27" s="6"/>
    </row>
    <row r="28" spans="1:8" ht="15">
      <c r="A28" s="1" t="s">
        <v>53</v>
      </c>
      <c r="B28" s="1" t="s">
        <v>119</v>
      </c>
      <c r="C28" s="4">
        <v>4</v>
      </c>
      <c r="D28" s="4">
        <v>5</v>
      </c>
      <c r="E28" s="4">
        <f t="shared" si="0"/>
        <v>4.5</v>
      </c>
      <c r="F28" s="1" t="s">
        <v>10</v>
      </c>
      <c r="G28" s="1" t="s">
        <v>120</v>
      </c>
      <c r="H28" s="6"/>
    </row>
    <row r="29" spans="1:8" ht="15">
      <c r="A29" s="1" t="s">
        <v>53</v>
      </c>
      <c r="B29" s="1" t="s">
        <v>121</v>
      </c>
      <c r="C29" s="4">
        <v>4</v>
      </c>
      <c r="D29" s="4">
        <v>5</v>
      </c>
      <c r="E29" s="4">
        <f t="shared" si="0"/>
        <v>4.5</v>
      </c>
      <c r="F29" s="1" t="s">
        <v>10</v>
      </c>
      <c r="G29" s="1" t="s">
        <v>122</v>
      </c>
      <c r="H29" s="6"/>
    </row>
    <row r="30" spans="1:8" ht="15">
      <c r="A30" s="1" t="s">
        <v>53</v>
      </c>
      <c r="B30" s="1" t="s">
        <v>123</v>
      </c>
      <c r="C30" s="4">
        <v>8</v>
      </c>
      <c r="D30" s="4">
        <v>15</v>
      </c>
      <c r="E30" s="4">
        <f t="shared" si="0"/>
        <v>11.5</v>
      </c>
      <c r="F30" s="1" t="s">
        <v>10</v>
      </c>
      <c r="G30" s="1" t="s">
        <v>124</v>
      </c>
      <c r="H30" s="6"/>
    </row>
    <row r="31" spans="1:8" ht="15">
      <c r="A31" s="1" t="s">
        <v>53</v>
      </c>
      <c r="B31" s="1" t="s">
        <v>125</v>
      </c>
      <c r="C31" s="4">
        <v>8</v>
      </c>
      <c r="D31" s="4">
        <v>15</v>
      </c>
      <c r="E31" s="4">
        <f t="shared" si="0"/>
        <v>11.5</v>
      </c>
      <c r="F31" s="1" t="s">
        <v>10</v>
      </c>
      <c r="G31" s="1" t="s">
        <v>126</v>
      </c>
      <c r="H31" s="6"/>
    </row>
    <row r="32" spans="1:8" ht="15">
      <c r="A32" s="1" t="s">
        <v>53</v>
      </c>
      <c r="B32" s="1" t="s">
        <v>127</v>
      </c>
      <c r="C32" s="4">
        <v>6</v>
      </c>
      <c r="D32" s="4">
        <v>10</v>
      </c>
      <c r="E32" s="4">
        <f t="shared" si="0"/>
        <v>8</v>
      </c>
      <c r="F32" s="1" t="s">
        <v>10</v>
      </c>
      <c r="G32" s="1" t="s">
        <v>128</v>
      </c>
      <c r="H32" s="6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workbookViewId="0">
      <selection sqref="A1:H1"/>
    </sheetView>
  </sheetViews>
  <sheetFormatPr baseColWidth="10" defaultColWidth="8.83203125" defaultRowHeight="14"/>
  <cols>
    <col min="1" max="1" width="7.83203125" customWidth="1"/>
    <col min="2" max="2" width="127.83203125" customWidth="1"/>
  </cols>
  <sheetData>
    <row r="1" spans="1:8" ht="28">
      <c r="A1" s="10" t="s">
        <v>129</v>
      </c>
      <c r="B1" s="11"/>
      <c r="C1" s="11"/>
      <c r="D1" s="11"/>
      <c r="E1" s="11"/>
      <c r="F1" s="11"/>
      <c r="G1" s="11"/>
      <c r="H1" s="11"/>
    </row>
    <row r="2" spans="1:8">
      <c r="A2" s="12" t="s">
        <v>130</v>
      </c>
      <c r="B2" s="11"/>
      <c r="C2" s="11"/>
      <c r="D2" s="11"/>
      <c r="E2" s="11"/>
      <c r="F2" s="11"/>
      <c r="G2" s="11"/>
      <c r="H2" s="11"/>
    </row>
    <row r="3" spans="1:8">
      <c r="A3" s="6"/>
      <c r="B3" s="6"/>
      <c r="C3" s="6"/>
      <c r="D3" s="6"/>
      <c r="E3" s="6"/>
      <c r="F3" s="6"/>
      <c r="G3" s="6"/>
      <c r="H3" s="6"/>
    </row>
    <row r="4" spans="1:8" ht="16">
      <c r="A4" s="8" t="s">
        <v>131</v>
      </c>
      <c r="B4" s="8" t="s">
        <v>132</v>
      </c>
      <c r="C4" s="6"/>
      <c r="D4" s="6"/>
      <c r="E4" s="6"/>
      <c r="F4" s="6"/>
      <c r="G4" s="6"/>
      <c r="H4" s="6"/>
    </row>
    <row r="5" spans="1:8" ht="15">
      <c r="A5" s="1">
        <v>1</v>
      </c>
      <c r="B5" s="1" t="s">
        <v>133</v>
      </c>
      <c r="C5" s="6"/>
      <c r="D5" s="6"/>
      <c r="E5" s="6"/>
      <c r="F5" s="6"/>
      <c r="G5" s="6"/>
      <c r="H5" s="6"/>
    </row>
    <row r="6" spans="1:8" ht="15">
      <c r="A6" s="1">
        <v>2</v>
      </c>
      <c r="B6" s="1" t="s">
        <v>134</v>
      </c>
      <c r="C6" s="6"/>
      <c r="D6" s="6"/>
      <c r="E6" s="6"/>
      <c r="F6" s="6"/>
      <c r="G6" s="6"/>
      <c r="H6" s="6"/>
    </row>
    <row r="7" spans="1:8" ht="15">
      <c r="A7" s="1">
        <v>3</v>
      </c>
      <c r="B7" s="1" t="s">
        <v>135</v>
      </c>
      <c r="C7" s="6"/>
      <c r="D7" s="6"/>
      <c r="E7" s="6"/>
      <c r="F7" s="6"/>
      <c r="G7" s="6"/>
      <c r="H7" s="6"/>
    </row>
    <row r="8" spans="1:8" ht="15">
      <c r="A8" s="1">
        <v>4</v>
      </c>
      <c r="B8" s="1" t="s">
        <v>136</v>
      </c>
      <c r="C8" s="6"/>
      <c r="D8" s="6"/>
      <c r="E8" s="6"/>
      <c r="F8" s="6"/>
      <c r="G8" s="6"/>
      <c r="H8" s="6"/>
    </row>
    <row r="9" spans="1:8" ht="15">
      <c r="A9" s="1">
        <v>5</v>
      </c>
      <c r="B9" s="1" t="s">
        <v>137</v>
      </c>
      <c r="C9" s="6"/>
      <c r="D9" s="6"/>
      <c r="E9" s="6"/>
      <c r="F9" s="6"/>
      <c r="G9" s="6"/>
      <c r="H9" s="6"/>
    </row>
    <row r="10" spans="1:8" ht="15">
      <c r="A10" s="1">
        <v>6</v>
      </c>
      <c r="B10" s="1" t="s">
        <v>138</v>
      </c>
      <c r="C10" s="6"/>
      <c r="D10" s="6"/>
      <c r="E10" s="6"/>
      <c r="F10" s="6"/>
      <c r="G10" s="6"/>
      <c r="H10" s="6"/>
    </row>
    <row r="11" spans="1:8" ht="15">
      <c r="A11" s="1">
        <v>7</v>
      </c>
      <c r="B11" s="1" t="s">
        <v>139</v>
      </c>
      <c r="C11" s="6"/>
      <c r="D11" s="6"/>
      <c r="E11" s="6"/>
      <c r="F11" s="6"/>
      <c r="G11" s="6"/>
      <c r="H11" s="6"/>
    </row>
    <row r="12" spans="1:8" ht="15">
      <c r="A12" s="1">
        <v>8</v>
      </c>
      <c r="B12" s="1" t="s">
        <v>140</v>
      </c>
      <c r="C12" s="6"/>
      <c r="D12" s="6"/>
      <c r="E12" s="6"/>
      <c r="F12" s="6"/>
      <c r="G12" s="6"/>
      <c r="H12" s="6"/>
    </row>
    <row r="13" spans="1:8" ht="15">
      <c r="A13" s="1">
        <v>9</v>
      </c>
      <c r="B13" s="1" t="s">
        <v>141</v>
      </c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 ht="18">
      <c r="A17" s="9" t="s">
        <v>142</v>
      </c>
      <c r="B17" s="6"/>
      <c r="C17" s="6"/>
      <c r="D17" s="6"/>
      <c r="E17" s="6"/>
      <c r="F17" s="6"/>
      <c r="G17" s="6"/>
      <c r="H17" s="6"/>
    </row>
    <row r="18" spans="1:8" ht="15">
      <c r="A18" s="1">
        <v>1</v>
      </c>
      <c r="B18" s="1" t="s">
        <v>143</v>
      </c>
      <c r="C18" s="6"/>
      <c r="D18" s="6"/>
      <c r="E18" s="6"/>
      <c r="F18" s="6"/>
      <c r="G18" s="6"/>
      <c r="H18" s="6"/>
    </row>
    <row r="19" spans="1:8" ht="15">
      <c r="A19" s="1">
        <v>2</v>
      </c>
      <c r="B19" s="1" t="s">
        <v>144</v>
      </c>
      <c r="C19" s="6"/>
      <c r="D19" s="6"/>
      <c r="E19" s="6"/>
      <c r="F19" s="6"/>
      <c r="G19" s="6"/>
      <c r="H19" s="6"/>
    </row>
    <row r="20" spans="1:8" ht="15">
      <c r="A20" s="1">
        <v>3</v>
      </c>
      <c r="B20" s="1" t="s">
        <v>145</v>
      </c>
      <c r="C20" s="6"/>
      <c r="D20" s="6"/>
      <c r="E20" s="6"/>
      <c r="F20" s="6"/>
      <c r="G20" s="6"/>
      <c r="H20" s="6"/>
    </row>
    <row r="21" spans="1:8" ht="15">
      <c r="A21" s="1">
        <v>4</v>
      </c>
      <c r="B21" s="1" t="s">
        <v>146</v>
      </c>
      <c r="C21" s="6"/>
      <c r="D21" s="6"/>
      <c r="E21" s="6"/>
      <c r="F21" s="6"/>
      <c r="G21" s="6"/>
      <c r="H21" s="6"/>
    </row>
    <row r="22" spans="1:8" ht="15">
      <c r="A22" s="1">
        <v>5</v>
      </c>
      <c r="B22" s="1" t="s">
        <v>147</v>
      </c>
      <c r="C22" s="6"/>
      <c r="D22" s="6"/>
      <c r="E22" s="6"/>
      <c r="F22" s="6"/>
      <c r="G22" s="6"/>
      <c r="H22" s="6"/>
    </row>
    <row r="23" spans="1:8">
      <c r="A23" s="1"/>
      <c r="B23" s="1"/>
      <c r="C23" s="6"/>
      <c r="D23" s="6"/>
      <c r="E23" s="6"/>
      <c r="F23" s="6"/>
      <c r="G23" s="6"/>
      <c r="H23" s="6"/>
    </row>
    <row r="24" spans="1:8">
      <c r="A24" s="1"/>
      <c r="B24" s="1"/>
      <c r="C24" s="6"/>
      <c r="D24" s="6"/>
      <c r="E24" s="6"/>
      <c r="F24" s="6"/>
      <c r="G24" s="6"/>
      <c r="H24" s="6"/>
    </row>
    <row r="25" spans="1:8">
      <c r="A25" s="1"/>
      <c r="B25" s="1"/>
      <c r="C25" s="6"/>
      <c r="D25" s="6"/>
      <c r="E25" s="6"/>
      <c r="F25" s="6"/>
      <c r="G25" s="6"/>
      <c r="H25" s="6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showGridLines="0" workbookViewId="0">
      <selection sqref="A1:H1"/>
    </sheetView>
  </sheetViews>
  <sheetFormatPr baseColWidth="10" defaultColWidth="8.83203125" defaultRowHeight="14"/>
  <cols>
    <col min="1" max="1" width="25" customWidth="1"/>
    <col min="2" max="2" width="107.83203125" customWidth="1"/>
    <col min="3" max="3" width="13.5" customWidth="1"/>
    <col min="4" max="4" width="22.1640625" customWidth="1"/>
  </cols>
  <sheetData>
    <row r="1" spans="1:8" ht="28">
      <c r="A1" s="10" t="s">
        <v>148</v>
      </c>
      <c r="B1" s="11"/>
      <c r="C1" s="11"/>
      <c r="D1" s="11"/>
      <c r="E1" s="11"/>
      <c r="F1" s="11"/>
      <c r="G1" s="11"/>
      <c r="H1" s="11"/>
    </row>
    <row r="2" spans="1:8">
      <c r="A2" s="12" t="s">
        <v>149</v>
      </c>
      <c r="B2" s="11"/>
      <c r="C2" s="11"/>
      <c r="D2" s="11"/>
      <c r="E2" s="11"/>
      <c r="F2" s="11"/>
      <c r="G2" s="11"/>
      <c r="H2" s="11"/>
    </row>
    <row r="3" spans="1:8">
      <c r="A3" s="6"/>
      <c r="B3" s="6"/>
      <c r="C3" s="6"/>
      <c r="D3" s="6"/>
      <c r="E3" s="6"/>
      <c r="F3" s="6"/>
      <c r="G3" s="6"/>
      <c r="H3" s="6"/>
    </row>
    <row r="4" spans="1:8" ht="16">
      <c r="A4" s="8" t="s">
        <v>150</v>
      </c>
      <c r="B4" s="8" t="s">
        <v>151</v>
      </c>
      <c r="C4" s="8" t="s">
        <v>152</v>
      </c>
      <c r="D4" s="8" t="s">
        <v>153</v>
      </c>
      <c r="E4" s="6"/>
      <c r="F4" s="6"/>
      <c r="G4" s="6"/>
      <c r="H4" s="6"/>
    </row>
    <row r="5" spans="1:8" ht="15">
      <c r="A5" s="1" t="s">
        <v>154</v>
      </c>
      <c r="B5" s="1" t="s">
        <v>155</v>
      </c>
      <c r="C5" s="1" t="s">
        <v>156</v>
      </c>
      <c r="D5" s="1" t="s">
        <v>157</v>
      </c>
      <c r="E5" s="6"/>
      <c r="F5" s="6"/>
      <c r="G5" s="6"/>
      <c r="H5" s="6"/>
    </row>
    <row r="6" spans="1:8" ht="15">
      <c r="A6" s="1" t="s">
        <v>158</v>
      </c>
      <c r="B6" s="1" t="s">
        <v>159</v>
      </c>
      <c r="C6" s="1" t="s">
        <v>156</v>
      </c>
      <c r="D6" s="1" t="s">
        <v>157</v>
      </c>
      <c r="E6" s="6"/>
      <c r="F6" s="6"/>
      <c r="G6" s="6"/>
      <c r="H6" s="6"/>
    </row>
    <row r="7" spans="1:8" ht="15">
      <c r="A7" s="1" t="s">
        <v>160</v>
      </c>
      <c r="B7" s="1" t="s">
        <v>161</v>
      </c>
      <c r="C7" s="1" t="s">
        <v>156</v>
      </c>
      <c r="D7" s="1" t="s">
        <v>157</v>
      </c>
      <c r="E7" s="6"/>
      <c r="F7" s="6"/>
      <c r="G7" s="6"/>
      <c r="H7" s="6"/>
    </row>
    <row r="8" spans="1:8" ht="15">
      <c r="A8" s="1" t="s">
        <v>162</v>
      </c>
      <c r="B8" s="1" t="s">
        <v>163</v>
      </c>
      <c r="C8" s="1" t="s">
        <v>156</v>
      </c>
      <c r="D8" s="1" t="s">
        <v>157</v>
      </c>
      <c r="E8" s="6"/>
      <c r="F8" s="6"/>
      <c r="G8" s="6"/>
      <c r="H8" s="6"/>
    </row>
    <row r="9" spans="1:8" ht="15">
      <c r="A9" s="1" t="s">
        <v>164</v>
      </c>
      <c r="B9" s="1" t="s">
        <v>165</v>
      </c>
      <c r="C9" s="1" t="s">
        <v>156</v>
      </c>
      <c r="D9" s="1" t="s">
        <v>157</v>
      </c>
      <c r="E9" s="6"/>
      <c r="F9" s="6"/>
      <c r="G9" s="6"/>
      <c r="H9" s="6"/>
    </row>
    <row r="10" spans="1:8" ht="15">
      <c r="A10" s="1" t="s">
        <v>166</v>
      </c>
      <c r="B10" s="1" t="s">
        <v>167</v>
      </c>
      <c r="C10" s="1" t="s">
        <v>156</v>
      </c>
      <c r="D10" s="1" t="s">
        <v>157</v>
      </c>
      <c r="E10" s="6"/>
      <c r="F10" s="6"/>
      <c r="G10" s="6"/>
      <c r="H10" s="6"/>
    </row>
    <row r="11" spans="1:8" ht="15">
      <c r="A11" s="1" t="s">
        <v>168</v>
      </c>
      <c r="B11" s="1" t="s">
        <v>169</v>
      </c>
      <c r="C11" s="1" t="s">
        <v>170</v>
      </c>
      <c r="D11" s="1" t="s">
        <v>157</v>
      </c>
      <c r="E11" s="6"/>
      <c r="F11" s="6"/>
      <c r="G11" s="6"/>
      <c r="H11" s="6"/>
    </row>
    <row r="12" spans="1:8" ht="15">
      <c r="A12" s="1" t="s">
        <v>171</v>
      </c>
      <c r="B12" s="1" t="s">
        <v>172</v>
      </c>
      <c r="C12" s="1" t="s">
        <v>170</v>
      </c>
      <c r="D12" s="1" t="s">
        <v>157</v>
      </c>
      <c r="E12" s="6"/>
      <c r="F12" s="6"/>
      <c r="G12" s="6"/>
      <c r="H12" s="6"/>
    </row>
    <row r="13" spans="1:8" ht="15">
      <c r="A13" s="1" t="s">
        <v>173</v>
      </c>
      <c r="B13" s="1" t="s">
        <v>174</v>
      </c>
      <c r="C13" s="1" t="s">
        <v>170</v>
      </c>
      <c r="D13" s="1" t="s">
        <v>157</v>
      </c>
      <c r="E13" s="6"/>
      <c r="F13" s="6"/>
      <c r="G13" s="6"/>
      <c r="H13" s="6"/>
    </row>
    <row r="14" spans="1:8" ht="15">
      <c r="A14" s="1" t="s">
        <v>175</v>
      </c>
      <c r="B14" s="1" t="s">
        <v>176</v>
      </c>
      <c r="C14" s="1" t="s">
        <v>170</v>
      </c>
      <c r="D14" s="1" t="s">
        <v>157</v>
      </c>
      <c r="E14" s="6"/>
      <c r="F14" s="6"/>
      <c r="G14" s="6"/>
      <c r="H14" s="6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workbookViewId="0">
      <selection sqref="A1:H1"/>
    </sheetView>
  </sheetViews>
  <sheetFormatPr baseColWidth="10" defaultColWidth="8.83203125" defaultRowHeight="14"/>
  <cols>
    <col min="1" max="1" width="36.5" customWidth="1"/>
    <col min="2" max="2" width="122.1640625" customWidth="1"/>
  </cols>
  <sheetData>
    <row r="1" spans="1:8" ht="28">
      <c r="A1" s="10" t="s">
        <v>177</v>
      </c>
      <c r="B1" s="11"/>
      <c r="C1" s="11"/>
      <c r="D1" s="11"/>
      <c r="E1" s="11"/>
      <c r="F1" s="11"/>
      <c r="G1" s="11"/>
      <c r="H1" s="11"/>
    </row>
    <row r="2" spans="1:8">
      <c r="A2" s="12" t="s">
        <v>178</v>
      </c>
      <c r="B2" s="11"/>
      <c r="C2" s="11"/>
      <c r="D2" s="11"/>
      <c r="E2" s="11"/>
      <c r="F2" s="11"/>
      <c r="G2" s="11"/>
      <c r="H2" s="11"/>
    </row>
    <row r="3" spans="1:8">
      <c r="A3" s="6"/>
      <c r="B3" s="6"/>
      <c r="C3" s="6"/>
      <c r="D3" s="6"/>
      <c r="E3" s="6"/>
      <c r="F3" s="6"/>
      <c r="G3" s="6"/>
      <c r="H3" s="6"/>
    </row>
    <row r="4" spans="1:8" ht="16">
      <c r="A4" s="8" t="s">
        <v>179</v>
      </c>
      <c r="B4" s="8" t="s">
        <v>180</v>
      </c>
      <c r="C4" s="6"/>
      <c r="D4" s="6"/>
      <c r="E4" s="6"/>
      <c r="F4" s="6"/>
      <c r="G4" s="6"/>
      <c r="H4" s="6"/>
    </row>
    <row r="5" spans="1:8" ht="30">
      <c r="A5" s="5" t="s">
        <v>181</v>
      </c>
      <c r="B5" s="1" t="s">
        <v>182</v>
      </c>
      <c r="C5" s="6"/>
      <c r="D5" s="6"/>
      <c r="E5" s="6"/>
      <c r="F5" s="6"/>
      <c r="G5" s="6"/>
      <c r="H5" s="6"/>
    </row>
    <row r="6" spans="1:8" ht="16">
      <c r="A6" s="5" t="s">
        <v>183</v>
      </c>
      <c r="B6" s="1" t="s">
        <v>184</v>
      </c>
      <c r="C6" s="6"/>
      <c r="D6" s="6"/>
      <c r="E6" s="6"/>
      <c r="F6" s="6"/>
      <c r="G6" s="6"/>
      <c r="H6" s="6"/>
    </row>
    <row r="7" spans="1:8" ht="16">
      <c r="A7" s="5" t="s">
        <v>185</v>
      </c>
      <c r="B7" s="1" t="s">
        <v>186</v>
      </c>
      <c r="C7" s="6"/>
      <c r="D7" s="6"/>
      <c r="E7" s="6"/>
      <c r="F7" s="6"/>
      <c r="G7" s="6"/>
      <c r="H7" s="6"/>
    </row>
    <row r="8" spans="1:8" ht="16">
      <c r="A8" s="5" t="s">
        <v>187</v>
      </c>
      <c r="B8" s="1" t="s">
        <v>188</v>
      </c>
      <c r="C8" s="6"/>
      <c r="D8" s="6"/>
      <c r="E8" s="6"/>
      <c r="F8" s="6"/>
      <c r="G8" s="6"/>
      <c r="H8" s="6"/>
    </row>
    <row r="9" spans="1:8" ht="16">
      <c r="A9" s="5" t="s">
        <v>189</v>
      </c>
      <c r="B9" s="1" t="s">
        <v>190</v>
      </c>
      <c r="C9" s="6"/>
      <c r="D9" s="6"/>
      <c r="E9" s="6"/>
      <c r="F9" s="6"/>
      <c r="G9" s="6"/>
      <c r="H9" s="6"/>
    </row>
    <row r="10" spans="1:8" ht="30">
      <c r="A10" s="5" t="s">
        <v>191</v>
      </c>
      <c r="B10" s="1" t="s">
        <v>192</v>
      </c>
      <c r="C10" s="6"/>
      <c r="D10" s="6"/>
      <c r="E10" s="6"/>
      <c r="F10" s="6"/>
      <c r="G10" s="6"/>
      <c r="H10" s="6"/>
    </row>
    <row r="11" spans="1:8" ht="30">
      <c r="A11" s="5" t="s">
        <v>193</v>
      </c>
      <c r="B11" s="1" t="s">
        <v>194</v>
      </c>
      <c r="C11" s="6"/>
      <c r="D11" s="6"/>
      <c r="E11" s="6"/>
      <c r="F11" s="6"/>
      <c r="G11" s="6"/>
      <c r="H11" s="6"/>
    </row>
    <row r="12" spans="1:8" ht="16">
      <c r="A12" s="5" t="s">
        <v>195</v>
      </c>
      <c r="B12" s="1" t="s">
        <v>196</v>
      </c>
      <c r="C12" s="6"/>
      <c r="D12" s="6"/>
      <c r="E12" s="6"/>
      <c r="F12" s="6"/>
      <c r="G12" s="6"/>
      <c r="H12" s="6"/>
    </row>
    <row r="13" spans="1:8" ht="16">
      <c r="A13" s="5" t="s">
        <v>197</v>
      </c>
      <c r="B13" s="1" t="s">
        <v>198</v>
      </c>
      <c r="C13" s="6"/>
      <c r="D13" s="6"/>
      <c r="E13" s="6"/>
      <c r="F13" s="6"/>
      <c r="G13" s="6"/>
      <c r="H13" s="6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sqref="A1:H1"/>
    </sheetView>
  </sheetViews>
  <sheetFormatPr baseColWidth="10" defaultColWidth="8.83203125" defaultRowHeight="14"/>
  <cols>
    <col min="1" max="1" width="30.6640625" customWidth="1"/>
    <col min="2" max="2" width="87.83203125" customWidth="1"/>
    <col min="3" max="3" width="79.33203125" customWidth="1"/>
  </cols>
  <sheetData>
    <row r="1" spans="1:8" ht="28">
      <c r="A1" s="10" t="s">
        <v>199</v>
      </c>
      <c r="B1" s="11"/>
      <c r="C1" s="11"/>
      <c r="D1" s="11"/>
      <c r="E1" s="11"/>
      <c r="F1" s="11"/>
      <c r="G1" s="11"/>
      <c r="H1" s="11"/>
    </row>
    <row r="2" spans="1:8">
      <c r="A2" s="12" t="s">
        <v>200</v>
      </c>
      <c r="B2" s="11"/>
      <c r="C2" s="11"/>
      <c r="D2" s="11"/>
      <c r="E2" s="11"/>
      <c r="F2" s="11"/>
      <c r="G2" s="11"/>
      <c r="H2" s="11"/>
    </row>
    <row r="3" spans="1:8">
      <c r="A3" s="6"/>
      <c r="B3" s="6"/>
      <c r="C3" s="6"/>
      <c r="D3" s="6"/>
      <c r="E3" s="6"/>
      <c r="F3" s="6"/>
      <c r="G3" s="6"/>
      <c r="H3" s="6"/>
    </row>
    <row r="4" spans="1:8" ht="16">
      <c r="A4" s="8" t="s">
        <v>201</v>
      </c>
      <c r="B4" s="8" t="s">
        <v>202</v>
      </c>
      <c r="C4" s="8" t="s">
        <v>203</v>
      </c>
      <c r="D4" s="6"/>
      <c r="E4" s="6"/>
      <c r="F4" s="6"/>
      <c r="G4" s="6"/>
      <c r="H4" s="6"/>
    </row>
    <row r="5" spans="1:8" ht="15">
      <c r="A5" s="1" t="s">
        <v>204</v>
      </c>
      <c r="B5" s="1" t="s">
        <v>205</v>
      </c>
      <c r="C5" s="1" t="s">
        <v>206</v>
      </c>
      <c r="D5" s="6"/>
      <c r="E5" s="6"/>
      <c r="F5" s="6"/>
      <c r="G5" s="6"/>
      <c r="H5" s="6"/>
    </row>
    <row r="6" spans="1:8" ht="15">
      <c r="A6" s="1" t="s">
        <v>207</v>
      </c>
      <c r="B6" s="1" t="s">
        <v>208</v>
      </c>
      <c r="C6" s="1" t="s">
        <v>209</v>
      </c>
      <c r="D6" s="6"/>
      <c r="E6" s="6"/>
      <c r="F6" s="6"/>
      <c r="G6" s="6"/>
      <c r="H6" s="6"/>
    </row>
    <row r="7" spans="1:8" ht="15">
      <c r="A7" s="1" t="s">
        <v>210</v>
      </c>
      <c r="B7" s="1" t="s">
        <v>211</v>
      </c>
      <c r="C7" s="1" t="s">
        <v>212</v>
      </c>
      <c r="D7" s="6"/>
      <c r="E7" s="6"/>
      <c r="F7" s="6"/>
      <c r="G7" s="6"/>
      <c r="H7" s="6"/>
    </row>
    <row r="8" spans="1:8" ht="30">
      <c r="A8" s="1" t="s">
        <v>213</v>
      </c>
      <c r="B8" s="1" t="s">
        <v>214</v>
      </c>
      <c r="C8" s="1" t="s">
        <v>215</v>
      </c>
      <c r="D8" s="6"/>
      <c r="E8" s="6"/>
      <c r="F8" s="6"/>
      <c r="G8" s="6"/>
      <c r="H8" s="6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31B9-1147-524A-89B7-73FED3785CD7}">
  <dimension ref="A1:C36"/>
  <sheetViews>
    <sheetView tabSelected="1" topLeftCell="A16" workbookViewId="0">
      <selection activeCell="C28" sqref="C28"/>
    </sheetView>
  </sheetViews>
  <sheetFormatPr baseColWidth="10" defaultRowHeight="14"/>
  <cols>
    <col min="2" max="2" width="121.1640625" customWidth="1"/>
    <col min="3" max="3" width="91.5" bestFit="1" customWidth="1"/>
  </cols>
  <sheetData>
    <row r="1" spans="1:3" ht="18">
      <c r="B1" s="18" t="s">
        <v>216</v>
      </c>
    </row>
    <row r="2" spans="1:3" ht="18">
      <c r="A2">
        <v>1</v>
      </c>
      <c r="B2" s="18" t="s">
        <v>217</v>
      </c>
    </row>
    <row r="3" spans="1:3" ht="18">
      <c r="A3">
        <v>2</v>
      </c>
      <c r="B3" s="18" t="s">
        <v>218</v>
      </c>
    </row>
    <row r="4" spans="1:3" ht="18">
      <c r="A4">
        <v>3</v>
      </c>
      <c r="B4" s="18" t="s">
        <v>219</v>
      </c>
    </row>
    <row r="5" spans="1:3" ht="18">
      <c r="A5">
        <v>4</v>
      </c>
      <c r="B5" s="18" t="s">
        <v>220</v>
      </c>
    </row>
    <row r="6" spans="1:3" ht="18">
      <c r="A6">
        <v>5</v>
      </c>
      <c r="B6" s="18" t="s">
        <v>221</v>
      </c>
    </row>
    <row r="7" spans="1:3" ht="18">
      <c r="A7">
        <v>6</v>
      </c>
      <c r="B7" s="18" t="s">
        <v>222</v>
      </c>
    </row>
    <row r="9" spans="1:3" ht="18">
      <c r="B9" s="18" t="s">
        <v>223</v>
      </c>
      <c r="C9" s="20"/>
    </row>
    <row r="10" spans="1:3" ht="18">
      <c r="A10">
        <v>1</v>
      </c>
      <c r="B10" s="18" t="s">
        <v>224</v>
      </c>
      <c r="C10" s="20" t="s">
        <v>230</v>
      </c>
    </row>
    <row r="11" spans="1:3" ht="18">
      <c r="A11">
        <v>2</v>
      </c>
      <c r="B11" s="18" t="s">
        <v>225</v>
      </c>
      <c r="C11" s="20" t="s">
        <v>231</v>
      </c>
    </row>
    <row r="12" spans="1:3" ht="18">
      <c r="A12">
        <v>3</v>
      </c>
      <c r="B12" s="18" t="s">
        <v>226</v>
      </c>
      <c r="C12" s="21"/>
    </row>
    <row r="13" spans="1:3" ht="18">
      <c r="A13">
        <v>4</v>
      </c>
      <c r="B13" s="18" t="s">
        <v>227</v>
      </c>
      <c r="C13" s="20" t="s">
        <v>232</v>
      </c>
    </row>
    <row r="14" spans="1:3" ht="18">
      <c r="A14">
        <v>5</v>
      </c>
      <c r="B14" s="18" t="s">
        <v>228</v>
      </c>
      <c r="C14" s="20" t="s">
        <v>233</v>
      </c>
    </row>
    <row r="15" spans="1:3" ht="18">
      <c r="A15">
        <v>6</v>
      </c>
      <c r="B15" s="18" t="s">
        <v>221</v>
      </c>
      <c r="C15" s="20" t="s">
        <v>234</v>
      </c>
    </row>
    <row r="16" spans="1:3" ht="18">
      <c r="A16">
        <v>7</v>
      </c>
      <c r="B16" s="18" t="s">
        <v>229</v>
      </c>
      <c r="C16" s="20" t="s">
        <v>235</v>
      </c>
    </row>
    <row r="17" spans="2:3" ht="18">
      <c r="C17" s="20" t="s">
        <v>236</v>
      </c>
    </row>
    <row r="18" spans="2:3" ht="18">
      <c r="C18" s="20" t="s">
        <v>237</v>
      </c>
    </row>
    <row r="22" spans="2:3" ht="18">
      <c r="B22" s="19"/>
    </row>
    <row r="23" spans="2:3" ht="18">
      <c r="B23" s="19" t="s">
        <v>238</v>
      </c>
    </row>
    <row r="24" spans="2:3" ht="18">
      <c r="B24" s="18" t="s">
        <v>239</v>
      </c>
    </row>
    <row r="26" spans="2:3" ht="18">
      <c r="B26" s="19" t="s">
        <v>240</v>
      </c>
    </row>
    <row r="27" spans="2:3" ht="18">
      <c r="B27" s="18" t="s">
        <v>241</v>
      </c>
    </row>
    <row r="28" spans="2:3" ht="18">
      <c r="B28" s="18" t="s">
        <v>242</v>
      </c>
    </row>
    <row r="30" spans="2:3" ht="18">
      <c r="B30" s="19" t="s">
        <v>243</v>
      </c>
    </row>
    <row r="31" spans="2:3" ht="18">
      <c r="B31" s="18" t="s">
        <v>244</v>
      </c>
    </row>
    <row r="32" spans="2:3" ht="18">
      <c r="B32" s="18" t="s">
        <v>245</v>
      </c>
    </row>
    <row r="34" spans="2:2" ht="18">
      <c r="B34" s="19" t="s">
        <v>246</v>
      </c>
    </row>
    <row r="35" spans="2:2" ht="18">
      <c r="B35" s="18" t="s">
        <v>247</v>
      </c>
    </row>
    <row r="36" spans="2:2" ht="18">
      <c r="B36" s="18" t="s">
        <v>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Phase Estimates</vt:lpstr>
      <vt:lpstr>Work Breakdown</vt:lpstr>
      <vt:lpstr>Assumptions</vt:lpstr>
      <vt:lpstr>Questions</vt:lpstr>
      <vt:lpstr>Commercial Notes</vt:lpstr>
      <vt:lpstr>References</vt:lpstr>
      <vt:lpstr>Noted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2026-06-04T01:46:25Z</dcterms:modified>
</cp:coreProperties>
</file>